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EGA\RENT\"/>
    </mc:Choice>
  </mc:AlternateContent>
  <xr:revisionPtr revIDLastSave="0" documentId="13_ncr:1_{35F0975E-DC5C-4E51-AA34-85913C91E9CD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Tenant_Profile" sheetId="1" r:id="rId1"/>
    <sheet name="Rent_Receip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J3" i="2"/>
  <c r="P3" i="2" s="1"/>
  <c r="P2" i="2"/>
  <c r="J2" i="2"/>
  <c r="G2" i="2"/>
</calcChain>
</file>

<file path=xl/sharedStrings.xml><?xml version="1.0" encoding="utf-8"?>
<sst xmlns="http://schemas.openxmlformats.org/spreadsheetml/2006/main" count="46" uniqueCount="38">
  <si>
    <t>Phone</t>
  </si>
  <si>
    <t>Email</t>
  </si>
  <si>
    <t>Company</t>
  </si>
  <si>
    <t>Address</t>
  </si>
  <si>
    <t>Room</t>
  </si>
  <si>
    <t>PIN</t>
  </si>
  <si>
    <t>Rent</t>
  </si>
  <si>
    <t>Water</t>
  </si>
  <si>
    <t>Status</t>
  </si>
  <si>
    <t>T001</t>
  </si>
  <si>
    <t>MTR001</t>
  </si>
  <si>
    <t>Active</t>
  </si>
  <si>
    <t>Month</t>
  </si>
  <si>
    <t>Date</t>
  </si>
  <si>
    <t>Previous</t>
  </si>
  <si>
    <t>Current</t>
  </si>
  <si>
    <t>Units</t>
  </si>
  <si>
    <t>Electricity</t>
  </si>
  <si>
    <t>Additional</t>
  </si>
  <si>
    <t>Maintenance</t>
  </si>
  <si>
    <t>Arrears</t>
  </si>
  <si>
    <t>Total</t>
  </si>
  <si>
    <t>T1-001</t>
  </si>
  <si>
    <t>ACTIVE</t>
  </si>
  <si>
    <t>L T ELEVATOR</t>
  </si>
  <si>
    <t>2nd Floor</t>
  </si>
  <si>
    <t>PENDING</t>
  </si>
  <si>
    <t>tenantId</t>
  </si>
  <si>
    <t>tenantName</t>
  </si>
  <si>
    <t>meterId</t>
  </si>
  <si>
    <t>electricityRate</t>
  </si>
  <si>
    <t>amountReceived</t>
  </si>
  <si>
    <t>paymentStatus</t>
  </si>
  <si>
    <t>BillNo</t>
  </si>
  <si>
    <t>ReceiptStatus</t>
  </si>
  <si>
    <t>additionalPersonRate</t>
  </si>
  <si>
    <t>tankWater</t>
  </si>
  <si>
    <t>T1-002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</si>
</sst>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7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M2" sqref="M2"/>
    </sheetView>
  </sheetViews>
  <sheetFormatPr defaultRowHeight="15" x14ac:dyDescent="0.25"/>
  <cols>
    <col min="1" max="1" width="8.5703125" bestFit="1" customWidth="1"/>
    <col min="2" max="2" width="12.7109375" bestFit="1" customWidth="1"/>
    <col min="3" max="3" width="11" bestFit="1" customWidth="1"/>
    <col min="5" max="5" width="9.28515625" bestFit="1" customWidth="1"/>
    <col min="12" max="12" width="14" bestFit="1" customWidth="1"/>
    <col min="13" max="13" width="22.85546875" bestFit="1" customWidth="1"/>
  </cols>
  <sheetData>
    <row r="1" spans="1:15" x14ac:dyDescent="0.25">
      <c r="A1" s="1" t="s">
        <v>27</v>
      </c>
      <c r="B1" s="1" t="s">
        <v>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29</v>
      </c>
      <c r="I1" s="1" t="s">
        <v>5</v>
      </c>
      <c r="J1" s="1" t="s">
        <v>6</v>
      </c>
      <c r="K1" s="1" t="s">
        <v>7</v>
      </c>
      <c r="L1" s="1" t="s">
        <v>30</v>
      </c>
      <c r="M1" s="1" t="s">
        <v>35</v>
      </c>
      <c r="N1" s="1" t="s">
        <v>36</v>
      </c>
      <c r="O1" s="1" t="s">
        <v>8</v>
      </c>
    </row>
    <row r="2" spans="1:15" x14ac:dyDescent="0.25">
      <c r="A2" t="s">
        <v>9</v>
      </c>
      <c r="B2" t="s">
        <v>24</v>
      </c>
      <c r="C2">
        <v>8389095941</v>
      </c>
      <c r="G2" t="s">
        <v>25</v>
      </c>
      <c r="H2" t="s">
        <v>10</v>
      </c>
      <c r="I2">
        <v>1234</v>
      </c>
      <c r="J2">
        <v>8000</v>
      </c>
      <c r="K2">
        <v>500</v>
      </c>
      <c r="L2">
        <v>13</v>
      </c>
      <c r="M2">
        <v>1000</v>
      </c>
      <c r="N2">
        <v>0</v>
      </c>
      <c r="O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"/>
  <sheetViews>
    <sheetView tabSelected="1" workbookViewId="0">
      <selection activeCell="F12" sqref="F12"/>
    </sheetView>
  </sheetViews>
  <sheetFormatPr defaultRowHeight="15" x14ac:dyDescent="0.25"/>
  <cols>
    <col min="3" max="3" width="8.7109375" bestFit="1" customWidth="1"/>
    <col min="5" max="5" width="8.7109375" bestFit="1" customWidth="1"/>
    <col min="11" max="11" width="10.28515625" bestFit="1" customWidth="1"/>
    <col min="12" max="12" width="10.7109375" bestFit="1" customWidth="1"/>
    <col min="13" max="13" width="12.7109375" bestFit="1" customWidth="1"/>
    <col min="15" max="15" width="17.5703125" bestFit="1" customWidth="1"/>
    <col min="17" max="17" width="14.42578125" bestFit="1" customWidth="1"/>
    <col min="18" max="18" width="13.28515625" bestFit="1" customWidth="1"/>
  </cols>
  <sheetData>
    <row r="1" spans="1:18" x14ac:dyDescent="0.25">
      <c r="A1" s="1" t="s">
        <v>33</v>
      </c>
      <c r="B1" s="1" t="s">
        <v>27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6</v>
      </c>
      <c r="I1" s="1" t="s">
        <v>7</v>
      </c>
      <c r="J1" s="1" t="s">
        <v>17</v>
      </c>
      <c r="K1" s="1" t="s">
        <v>18</v>
      </c>
      <c r="L1" s="1" t="s">
        <v>36</v>
      </c>
      <c r="M1" s="1" t="s">
        <v>19</v>
      </c>
      <c r="N1" s="1" t="s">
        <v>20</v>
      </c>
      <c r="O1" s="1" t="s">
        <v>31</v>
      </c>
      <c r="P1" s="1" t="s">
        <v>21</v>
      </c>
      <c r="Q1" s="1" t="s">
        <v>32</v>
      </c>
      <c r="R1" s="1" t="s">
        <v>34</v>
      </c>
    </row>
    <row r="2" spans="1:18" x14ac:dyDescent="0.25">
      <c r="A2" t="s">
        <v>22</v>
      </c>
      <c r="B2" t="s">
        <v>9</v>
      </c>
      <c r="C2" s="2">
        <v>46174</v>
      </c>
      <c r="D2" s="3">
        <v>46204</v>
      </c>
      <c r="E2">
        <v>600</v>
      </c>
      <c r="F2">
        <v>720</v>
      </c>
      <c r="G2">
        <f>F2-E2</f>
        <v>120</v>
      </c>
      <c r="H2">
        <v>8000</v>
      </c>
      <c r="I2">
        <v>500</v>
      </c>
      <c r="J2">
        <f>G2*Tenant_Profile!L2</f>
        <v>1560</v>
      </c>
      <c r="K2">
        <v>0</v>
      </c>
      <c r="L2">
        <v>1250</v>
      </c>
      <c r="M2">
        <v>0</v>
      </c>
      <c r="N2">
        <v>0</v>
      </c>
      <c r="O2">
        <v>0</v>
      </c>
      <c r="P2">
        <f>SUM(H2:N2)</f>
        <v>11310</v>
      </c>
      <c r="Q2" t="s">
        <v>26</v>
      </c>
      <c r="R2" t="s">
        <v>23</v>
      </c>
    </row>
    <row r="3" spans="1:18" x14ac:dyDescent="0.25">
      <c r="A3" t="s">
        <v>37</v>
      </c>
      <c r="B3" t="s">
        <v>9</v>
      </c>
      <c r="C3" s="2">
        <v>46204</v>
      </c>
      <c r="D3" s="3">
        <v>46235</v>
      </c>
      <c r="E3">
        <v>600</v>
      </c>
      <c r="F3">
        <v>720</v>
      </c>
      <c r="G3">
        <f>F3-E3</f>
        <v>120</v>
      </c>
      <c r="H3">
        <v>8000</v>
      </c>
      <c r="I3">
        <v>500</v>
      </c>
      <c r="J3">
        <f>G3*Tenant_Profile!L3</f>
        <v>0</v>
      </c>
      <c r="K3">
        <v>0</v>
      </c>
      <c r="L3">
        <v>1250</v>
      </c>
      <c r="M3">
        <v>0</v>
      </c>
      <c r="N3">
        <v>0</v>
      </c>
      <c r="O3">
        <v>0</v>
      </c>
      <c r="P3">
        <f>SUM(H3:N3)</f>
        <v>9750</v>
      </c>
      <c r="Q3" t="s">
        <v>26</v>
      </c>
      <c r="R3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Tenant_Profile</vt:lpstr>
      <vt:lpstr>Rent_Receipts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SHARMA</cp:lastModifiedBy>
  <dcterms:created xsi:type="dcterms:W3CDTF">2026-07-08T14:11:23Z</dcterms:created>
  <dcterms:modified xsi:type="dcterms:W3CDTF">2026-08-31T08:25:51Z</dcterms:modified>
</cp:coreProperties>
</file>