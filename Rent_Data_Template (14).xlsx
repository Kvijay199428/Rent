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jsin\Downloads\"/>
    </mc:Choice>
  </mc:AlternateContent>
  <xr:revisionPtr revIDLastSave="0" documentId="13_ncr:1_{4CDC50FF-F771-476B-8921-DF7F080D0F2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Tenant_Profile" sheetId="1" r:id="rId1"/>
    <sheet name="Rent_Receip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2" l="1"/>
  <c r="J2" i="2"/>
  <c r="G2" i="2"/>
</calcChain>
</file>

<file path=xl/sharedStrings.xml><?xml version="1.0" encoding="utf-8"?>
<sst xmlns="http://schemas.openxmlformats.org/spreadsheetml/2006/main" count="42" uniqueCount="37">
  <si>
    <t>Tenant_ID</t>
  </si>
  <si>
    <t>Tenant_Name</t>
  </si>
  <si>
    <t>Phone</t>
  </si>
  <si>
    <t>Email</t>
  </si>
  <si>
    <t>Company</t>
  </si>
  <si>
    <t>Address</t>
  </si>
  <si>
    <t>Room</t>
  </si>
  <si>
    <t>Meter_ID</t>
  </si>
  <si>
    <t>PIN</t>
  </si>
  <si>
    <t>Rent</t>
  </si>
  <si>
    <t>Water</t>
  </si>
  <si>
    <t>Electricity_Rate</t>
  </si>
  <si>
    <t>Additional_Person_Rate</t>
  </si>
  <si>
    <t>Tank_Water</t>
  </si>
  <si>
    <t>Status</t>
  </si>
  <si>
    <t>T001</t>
  </si>
  <si>
    <t>MTR001</t>
  </si>
  <si>
    <t>Active</t>
  </si>
  <si>
    <t>Bill_No</t>
  </si>
  <si>
    <t>Month</t>
  </si>
  <si>
    <t>Date</t>
  </si>
  <si>
    <t>Previous</t>
  </si>
  <si>
    <t>Current</t>
  </si>
  <si>
    <t>Units</t>
  </si>
  <si>
    <t>Electricity</t>
  </si>
  <si>
    <t>Additional</t>
  </si>
  <si>
    <t>Maintenance</t>
  </si>
  <si>
    <t>Arrears</t>
  </si>
  <si>
    <t>Amount_Received</t>
  </si>
  <si>
    <t>Total</t>
  </si>
  <si>
    <t>Payment_Status</t>
  </si>
  <si>
    <t>Receipt_Status</t>
  </si>
  <si>
    <t>T1-001</t>
  </si>
  <si>
    <t>ACTIVE</t>
  </si>
  <si>
    <t>L T ELEVATOR</t>
  </si>
  <si>
    <t>2nd Floor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</si>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</sst>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7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workbookViewId="0">
      <selection activeCell="O2" sqref="O2"/>
    </sheetView>
  </sheetViews>
  <sheetFormatPr defaultRowHeight="15" x14ac:dyDescent="0.25"/>
  <cols>
    <col min="3" max="3" width="11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t="s">
        <v>34</v>
      </c>
      <c r="C2">
        <v>9599130381</v>
      </c>
      <c r="G2" t="s">
        <v>35</v>
      </c>
      <c r="H2" t="s">
        <v>16</v>
      </c>
      <c r="I2">
        <v>1234</v>
      </c>
      <c r="J2">
        <v>8000</v>
      </c>
      <c r="K2">
        <v>500</v>
      </c>
      <c r="L2">
        <v>13</v>
      </c>
      <c r="M2">
        <v>1000</v>
      </c>
      <c r="N2">
        <v>0</v>
      </c>
      <c r="O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"/>
  <sheetViews>
    <sheetView tabSelected="1" workbookViewId="0">
      <selection activeCell="Q4" sqref="Q4"/>
    </sheetView>
  </sheetViews>
  <sheetFormatPr defaultRowHeight="15" x14ac:dyDescent="0.25"/>
  <cols>
    <col min="15" max="15" width="17.5703125" bestFit="1" customWidth="1"/>
  </cols>
  <sheetData>
    <row r="1" spans="1:18" x14ac:dyDescent="0.25">
      <c r="A1" s="1" t="s">
        <v>18</v>
      </c>
      <c r="B1" s="1" t="s">
        <v>0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9</v>
      </c>
      <c r="I1" s="1" t="s">
        <v>10</v>
      </c>
      <c r="J1" s="1" t="s">
        <v>24</v>
      </c>
      <c r="K1" s="1" t="s">
        <v>25</v>
      </c>
      <c r="L1" s="1" t="s">
        <v>13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</row>
    <row r="2" spans="1:18" x14ac:dyDescent="0.25">
      <c r="A2" t="s">
        <v>32</v>
      </c>
      <c r="B2" t="s">
        <v>15</v>
      </c>
      <c r="C2" s="2">
        <v>46174</v>
      </c>
      <c r="D2" s="3">
        <v>46204</v>
      </c>
      <c r="E2">
        <v>600</v>
      </c>
      <c r="F2">
        <v>720</v>
      </c>
      <c r="G2">
        <f>F2-E2</f>
        <v>120</v>
      </c>
      <c r="H2">
        <v>8000</v>
      </c>
      <c r="I2">
        <v>500</v>
      </c>
      <c r="J2">
        <f>G2*Tenant_Profile!L2</f>
        <v>1560</v>
      </c>
      <c r="K2">
        <v>0</v>
      </c>
      <c r="L2">
        <v>1250</v>
      </c>
      <c r="M2">
        <v>0</v>
      </c>
      <c r="N2">
        <v>0</v>
      </c>
      <c r="O2">
        <v>0</v>
      </c>
      <c r="P2">
        <f>SUM(H2:N2)</f>
        <v>11310</v>
      </c>
      <c r="Q2" t="s">
        <v>36</v>
      </c>
      <c r="R2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Tenant_Profile</vt:lpstr>
      <vt:lpstr>Rent_Receipts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VIJAY SHARMA</cp:lastModifiedBy>
  <dcterms:created xsi:type="dcterms:W3CDTF">2026-07-08T14:11:23Z</dcterms:created>
  <dcterms:modified xsi:type="dcterms:W3CDTF">2026-07-08T14:16:09Z</dcterms:modified>
</cp:coreProperties>
</file>